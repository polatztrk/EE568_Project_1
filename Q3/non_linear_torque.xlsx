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latozturk/Desktop/EE568_Project_1/Q3/"/>
    </mc:Choice>
  </mc:AlternateContent>
  <xr:revisionPtr revIDLastSave="0" documentId="13_ncr:1_{EB974EEF-DB46-8142-AE4E-2F2F68FFDE89}" xr6:coauthVersionLast="47" xr6:coauthVersionMax="47" xr10:uidLastSave="{00000000-0000-0000-0000-000000000000}"/>
  <bookViews>
    <workbookView minimized="1" xWindow="4540" yWindow="500" windowWidth="28800" windowHeight="1646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<sst xmlns="http://schemas.openxmlformats.org/spreadsheetml/2006/main" count="4" uniqueCount="4">
  <si>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Theta(rad)</t>
  </si>
  <si>
    <t>Analytical Torque(Nm)</t>
  </si>
  <si>
    <t>Soft Iron FEA Torque(Nm)</t>
  </si>
  <si>
    <t>M330-35A FEA Torque(Nm)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</si>
</sst>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Analytical and FEA Inductance vs. Theta</a:t>
            </a:r>
            <a:endParaRPr lang="en-T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M330-35A FEA Torque(Nm)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Sheet1!$B$2:$B$38</c:f>
              <c:numCache>
                <c:formatCode>General</c:formatCode>
                <c:ptCount val="37"/>
                <c:pt idx="0">
                  <c:v>-3.13441502754021E-4</c:v>
                </c:pt>
                <c:pt idx="1">
                  <c:v>-4.3807297072863918E-2</c:v>
                </c:pt>
                <c:pt idx="2">
                  <c:v>-6.4216841199362579E-2</c:v>
                </c:pt>
                <c:pt idx="3">
                  <c:v>-5.9266647353117263E-2</c:v>
                </c:pt>
                <c:pt idx="4">
                  <c:v>-8.7825900689753683E-2</c:v>
                </c:pt>
                <c:pt idx="5">
                  <c:v>-7.4695507066749461E-2</c:v>
                </c:pt>
                <c:pt idx="6">
                  <c:v>-7.4249701527074149E-2</c:v>
                </c:pt>
                <c:pt idx="7">
                  <c:v>-9.1327974001579132E-2</c:v>
                </c:pt>
                <c:pt idx="8">
                  <c:v>-8.2850141788237436E-2</c:v>
                </c:pt>
                <c:pt idx="9">
                  <c:v>-8.3517871231144625E-2</c:v>
                </c:pt>
                <c:pt idx="10">
                  <c:v>-6.2128262670172928E-2</c:v>
                </c:pt>
                <c:pt idx="11">
                  <c:v>-7.2049984535188946E-2</c:v>
                </c:pt>
                <c:pt idx="12">
                  <c:v>-7.7880914041881008E-2</c:v>
                </c:pt>
                <c:pt idx="13">
                  <c:v>-7.670624092582673E-2</c:v>
                </c:pt>
                <c:pt idx="14">
                  <c:v>-5.9615004487133673E-2</c:v>
                </c:pt>
                <c:pt idx="15">
                  <c:v>-7.3792494393496305E-2</c:v>
                </c:pt>
                <c:pt idx="16">
                  <c:v>-3.2651458109158989E-2</c:v>
                </c:pt>
                <c:pt idx="17">
                  <c:v>-1.1206597362400577E-2</c:v>
                </c:pt>
                <c:pt idx="18">
                  <c:v>-9.172749778181094E-5</c:v>
                </c:pt>
                <c:pt idx="19">
                  <c:v>1.1246334214242162E-2</c:v>
                </c:pt>
                <c:pt idx="20">
                  <c:v>3.3082898974769286E-2</c:v>
                </c:pt>
                <c:pt idx="21">
                  <c:v>7.5000851174903696E-2</c:v>
                </c:pt>
                <c:pt idx="22">
                  <c:v>5.8796311269577961E-2</c:v>
                </c:pt>
                <c:pt idx="23">
                  <c:v>7.7524829829209774E-2</c:v>
                </c:pt>
                <c:pt idx="24">
                  <c:v>7.4713664468502972E-2</c:v>
                </c:pt>
                <c:pt idx="25">
                  <c:v>7.0922440480039886E-2</c:v>
                </c:pt>
                <c:pt idx="26">
                  <c:v>6.2256025698402516E-2</c:v>
                </c:pt>
                <c:pt idx="27">
                  <c:v>8.7969946248796463E-2</c:v>
                </c:pt>
                <c:pt idx="28">
                  <c:v>8.2645424903713627E-2</c:v>
                </c:pt>
                <c:pt idx="29">
                  <c:v>9.6819840914275146E-2</c:v>
                </c:pt>
                <c:pt idx="30">
                  <c:v>7.4518283162524068E-2</c:v>
                </c:pt>
                <c:pt idx="31">
                  <c:v>6.8440002211803908E-2</c:v>
                </c:pt>
                <c:pt idx="32">
                  <c:v>8.7044204309703055E-2</c:v>
                </c:pt>
                <c:pt idx="33">
                  <c:v>5.8439421036561565E-2</c:v>
                </c:pt>
                <c:pt idx="34">
                  <c:v>6.313820376079872E-2</c:v>
                </c:pt>
                <c:pt idx="35">
                  <c:v>4.545719796837551E-2</c:v>
                </c:pt>
                <c:pt idx="36">
                  <c:v>-3.0631538692222211E-4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3D-FD4D-9C75-FFD15FCE3CE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Analytical Torque(Nm)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Sheet1!$C$2:$C$38</c:f>
              <c:numCache>
                <c:formatCode>General</c:formatCode>
                <c:ptCount val="37"/>
                <c:pt idx="0">
                  <c:v>0</c:v>
                </c:pt>
                <c:pt idx="1">
                  <c:v>-1.7039227433567537E-2</c:v>
                </c:pt>
                <c:pt idx="2">
                  <c:v>-3.3560726563831238E-2</c:v>
                </c:pt>
                <c:pt idx="3">
                  <c:v>-4.9062499999999988E-2</c:v>
                </c:pt>
                <c:pt idx="4">
                  <c:v>-6.3073534200491652E-2</c:v>
                </c:pt>
                <c:pt idx="5">
                  <c:v>-7.516811098104971E-2</c:v>
                </c:pt>
                <c:pt idx="6">
                  <c:v>-8.4978742746348035E-2</c:v>
                </c:pt>
                <c:pt idx="7">
                  <c:v>-9.2207338414617243E-2</c:v>
                </c:pt>
                <c:pt idx="8">
                  <c:v>-9.6634260764322896E-2</c:v>
                </c:pt>
                <c:pt idx="9">
                  <c:v>-9.812499999999999E-2</c:v>
                </c:pt>
                <c:pt idx="10">
                  <c:v>-9.6634260764322896E-2</c:v>
                </c:pt>
                <c:pt idx="11">
                  <c:v>-9.2207338414617257E-2</c:v>
                </c:pt>
                <c:pt idx="12">
                  <c:v>-8.4978742746348035E-2</c:v>
                </c:pt>
                <c:pt idx="13">
                  <c:v>-7.516811098104971E-2</c:v>
                </c:pt>
                <c:pt idx="14">
                  <c:v>-6.3073534200491679E-2</c:v>
                </c:pt>
                <c:pt idx="15">
                  <c:v>-4.9062499999999988E-2</c:v>
                </c:pt>
                <c:pt idx="16">
                  <c:v>-3.3560726563831259E-2</c:v>
                </c:pt>
                <c:pt idx="17">
                  <c:v>-1.7039227433567575E-2</c:v>
                </c:pt>
                <c:pt idx="18">
                  <c:v>-1.2016846716633401E-17</c:v>
                </c:pt>
                <c:pt idx="19">
                  <c:v>1.7039227433567505E-2</c:v>
                </c:pt>
                <c:pt idx="20">
                  <c:v>3.3560726563831231E-2</c:v>
                </c:pt>
                <c:pt idx="21">
                  <c:v>4.9062499999999974E-2</c:v>
                </c:pt>
                <c:pt idx="22">
                  <c:v>6.3073534200491652E-2</c:v>
                </c:pt>
                <c:pt idx="23">
                  <c:v>7.5168110981049696E-2</c:v>
                </c:pt>
                <c:pt idx="24">
                  <c:v>8.4978742746348007E-2</c:v>
                </c:pt>
                <c:pt idx="25">
                  <c:v>9.2207338414617229E-2</c:v>
                </c:pt>
                <c:pt idx="26">
                  <c:v>9.6634260764322896E-2</c:v>
                </c:pt>
                <c:pt idx="27">
                  <c:v>9.812499999999999E-2</c:v>
                </c:pt>
                <c:pt idx="28">
                  <c:v>9.663426076432291E-2</c:v>
                </c:pt>
                <c:pt idx="29">
                  <c:v>9.2207338414617271E-2</c:v>
                </c:pt>
                <c:pt idx="30">
                  <c:v>8.4978742746348035E-2</c:v>
                </c:pt>
                <c:pt idx="31">
                  <c:v>7.5168110981049724E-2</c:v>
                </c:pt>
                <c:pt idx="32">
                  <c:v>6.3073534200491693E-2</c:v>
                </c:pt>
                <c:pt idx="33">
                  <c:v>4.9062500000000037E-2</c:v>
                </c:pt>
                <c:pt idx="34">
                  <c:v>3.3560726563831307E-2</c:v>
                </c:pt>
                <c:pt idx="35">
                  <c:v>1.7039227433567544E-2</c:v>
                </c:pt>
                <c:pt idx="36">
                  <c:v>2.4033693433266803E-17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3D-FD4D-9C75-FFD15FCE3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667663"/>
        <c:axId val="387640127"/>
      </c:scatterChart>
      <c:valAx>
        <c:axId val="38766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387640127"/>
        <c:crosses val="autoZero"/>
        <c:crossBetween val="midCat"/>
      </c:valAx>
      <c:valAx>
        <c:axId val="38764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387667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Analytical and FEA Torque vs. Theta</a:t>
            </a:r>
            <a:endParaRPr lang="en-T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M330-35A FEA Torque(Nm)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Sheet1!$B$2:$B$38</c:f>
              <c:numCache>
                <c:formatCode>General</c:formatCode>
                <c:ptCount val="37"/>
                <c:pt idx="0">
                  <c:v>-3.13441502754021E-4</c:v>
                </c:pt>
                <c:pt idx="1">
                  <c:v>-4.3807297072863918E-2</c:v>
                </c:pt>
                <c:pt idx="2">
                  <c:v>-6.4216841199362579E-2</c:v>
                </c:pt>
                <c:pt idx="3">
                  <c:v>-5.9266647353117263E-2</c:v>
                </c:pt>
                <c:pt idx="4">
                  <c:v>-8.7825900689753683E-2</c:v>
                </c:pt>
                <c:pt idx="5">
                  <c:v>-7.4695507066749461E-2</c:v>
                </c:pt>
                <c:pt idx="6">
                  <c:v>-7.4249701527074149E-2</c:v>
                </c:pt>
                <c:pt idx="7">
                  <c:v>-9.1327974001579132E-2</c:v>
                </c:pt>
                <c:pt idx="8">
                  <c:v>-8.2850141788237436E-2</c:v>
                </c:pt>
                <c:pt idx="9">
                  <c:v>-8.3517871231144625E-2</c:v>
                </c:pt>
                <c:pt idx="10">
                  <c:v>-6.2128262670172928E-2</c:v>
                </c:pt>
                <c:pt idx="11">
                  <c:v>-7.2049984535188946E-2</c:v>
                </c:pt>
                <c:pt idx="12">
                  <c:v>-7.7880914041881008E-2</c:v>
                </c:pt>
                <c:pt idx="13">
                  <c:v>-7.670624092582673E-2</c:v>
                </c:pt>
                <c:pt idx="14">
                  <c:v>-5.9615004487133673E-2</c:v>
                </c:pt>
                <c:pt idx="15">
                  <c:v>-7.3792494393496305E-2</c:v>
                </c:pt>
                <c:pt idx="16">
                  <c:v>-3.2651458109158989E-2</c:v>
                </c:pt>
                <c:pt idx="17">
                  <c:v>-1.1206597362400577E-2</c:v>
                </c:pt>
                <c:pt idx="18">
                  <c:v>-9.172749778181094E-5</c:v>
                </c:pt>
                <c:pt idx="19">
                  <c:v>1.1246334214242162E-2</c:v>
                </c:pt>
                <c:pt idx="20">
                  <c:v>3.3082898974769286E-2</c:v>
                </c:pt>
                <c:pt idx="21">
                  <c:v>7.5000851174903696E-2</c:v>
                </c:pt>
                <c:pt idx="22">
                  <c:v>5.8796311269577961E-2</c:v>
                </c:pt>
                <c:pt idx="23">
                  <c:v>7.7524829829209774E-2</c:v>
                </c:pt>
                <c:pt idx="24">
                  <c:v>7.4713664468502972E-2</c:v>
                </c:pt>
                <c:pt idx="25">
                  <c:v>7.0922440480039886E-2</c:v>
                </c:pt>
                <c:pt idx="26">
                  <c:v>6.2256025698402516E-2</c:v>
                </c:pt>
                <c:pt idx="27">
                  <c:v>8.7969946248796463E-2</c:v>
                </c:pt>
                <c:pt idx="28">
                  <c:v>8.2645424903713627E-2</c:v>
                </c:pt>
                <c:pt idx="29">
                  <c:v>9.6819840914275146E-2</c:v>
                </c:pt>
                <c:pt idx="30">
                  <c:v>7.4518283162524068E-2</c:v>
                </c:pt>
                <c:pt idx="31">
                  <c:v>6.8440002211803908E-2</c:v>
                </c:pt>
                <c:pt idx="32">
                  <c:v>8.7044204309703055E-2</c:v>
                </c:pt>
                <c:pt idx="33">
                  <c:v>5.8439421036561565E-2</c:v>
                </c:pt>
                <c:pt idx="34">
                  <c:v>6.313820376079872E-2</c:v>
                </c:pt>
                <c:pt idx="35">
                  <c:v>4.545719796837551E-2</c:v>
                </c:pt>
                <c:pt idx="36">
                  <c:v>-3.0631538692222211E-4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85-6948-B8D3-FE53350A8FF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Analytical Torque(Nm)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Sheet1!$C$2:$C$38</c:f>
              <c:numCache>
                <c:formatCode>General</c:formatCode>
                <c:ptCount val="37"/>
                <c:pt idx="0">
                  <c:v>0</c:v>
                </c:pt>
                <c:pt idx="1">
                  <c:v>-1.7039227433567537E-2</c:v>
                </c:pt>
                <c:pt idx="2">
                  <c:v>-3.3560726563831238E-2</c:v>
                </c:pt>
                <c:pt idx="3">
                  <c:v>-4.9062499999999988E-2</c:v>
                </c:pt>
                <c:pt idx="4">
                  <c:v>-6.3073534200491652E-2</c:v>
                </c:pt>
                <c:pt idx="5">
                  <c:v>-7.516811098104971E-2</c:v>
                </c:pt>
                <c:pt idx="6">
                  <c:v>-8.4978742746348035E-2</c:v>
                </c:pt>
                <c:pt idx="7">
                  <c:v>-9.2207338414617243E-2</c:v>
                </c:pt>
                <c:pt idx="8">
                  <c:v>-9.6634260764322896E-2</c:v>
                </c:pt>
                <c:pt idx="9">
                  <c:v>-9.812499999999999E-2</c:v>
                </c:pt>
                <c:pt idx="10">
                  <c:v>-9.6634260764322896E-2</c:v>
                </c:pt>
                <c:pt idx="11">
                  <c:v>-9.2207338414617257E-2</c:v>
                </c:pt>
                <c:pt idx="12">
                  <c:v>-8.4978742746348035E-2</c:v>
                </c:pt>
                <c:pt idx="13">
                  <c:v>-7.516811098104971E-2</c:v>
                </c:pt>
                <c:pt idx="14">
                  <c:v>-6.3073534200491679E-2</c:v>
                </c:pt>
                <c:pt idx="15">
                  <c:v>-4.9062499999999988E-2</c:v>
                </c:pt>
                <c:pt idx="16">
                  <c:v>-3.3560726563831259E-2</c:v>
                </c:pt>
                <c:pt idx="17">
                  <c:v>-1.7039227433567575E-2</c:v>
                </c:pt>
                <c:pt idx="18">
                  <c:v>-1.2016846716633401E-17</c:v>
                </c:pt>
                <c:pt idx="19">
                  <c:v>1.7039227433567505E-2</c:v>
                </c:pt>
                <c:pt idx="20">
                  <c:v>3.3560726563831231E-2</c:v>
                </c:pt>
                <c:pt idx="21">
                  <c:v>4.9062499999999974E-2</c:v>
                </c:pt>
                <c:pt idx="22">
                  <c:v>6.3073534200491652E-2</c:v>
                </c:pt>
                <c:pt idx="23">
                  <c:v>7.5168110981049696E-2</c:v>
                </c:pt>
                <c:pt idx="24">
                  <c:v>8.4978742746348007E-2</c:v>
                </c:pt>
                <c:pt idx="25">
                  <c:v>9.2207338414617229E-2</c:v>
                </c:pt>
                <c:pt idx="26">
                  <c:v>9.6634260764322896E-2</c:v>
                </c:pt>
                <c:pt idx="27">
                  <c:v>9.812499999999999E-2</c:v>
                </c:pt>
                <c:pt idx="28">
                  <c:v>9.663426076432291E-2</c:v>
                </c:pt>
                <c:pt idx="29">
                  <c:v>9.2207338414617271E-2</c:v>
                </c:pt>
                <c:pt idx="30">
                  <c:v>8.4978742746348035E-2</c:v>
                </c:pt>
                <c:pt idx="31">
                  <c:v>7.5168110981049724E-2</c:v>
                </c:pt>
                <c:pt idx="32">
                  <c:v>6.3073534200491693E-2</c:v>
                </c:pt>
                <c:pt idx="33">
                  <c:v>4.9062500000000037E-2</c:v>
                </c:pt>
                <c:pt idx="34">
                  <c:v>3.3560726563831307E-2</c:v>
                </c:pt>
                <c:pt idx="35">
                  <c:v>1.7039227433567544E-2</c:v>
                </c:pt>
                <c:pt idx="36">
                  <c:v>2.4033693433266803E-17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85-6948-B8D3-FE53350A8FF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Soft Iron FEA Torque(Nm)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8.7266462599716474E-2</c:v>
                </c:pt>
                <c:pt idx="2">
                  <c:v>0.17453292519943295</c:v>
                </c:pt>
                <c:pt idx="3">
                  <c:v>0.26179938779914941</c:v>
                </c:pt>
                <c:pt idx="4">
                  <c:v>0.3490658503988659</c:v>
                </c:pt>
                <c:pt idx="5">
                  <c:v>0.43633231299858238</c:v>
                </c:pt>
                <c:pt idx="6">
                  <c:v>0.52359877559829882</c:v>
                </c:pt>
                <c:pt idx="7">
                  <c:v>0.6108652381980153</c:v>
                </c:pt>
                <c:pt idx="8">
                  <c:v>0.69813170079773179</c:v>
                </c:pt>
                <c:pt idx="9">
                  <c:v>0.78539816339744828</c:v>
                </c:pt>
                <c:pt idx="10">
                  <c:v>0.87266462599716477</c:v>
                </c:pt>
                <c:pt idx="11">
                  <c:v>0.95993108859688125</c:v>
                </c:pt>
                <c:pt idx="12">
                  <c:v>1.0471975511965976</c:v>
                </c:pt>
                <c:pt idx="13">
                  <c:v>1.1344640137963142</c:v>
                </c:pt>
                <c:pt idx="14">
                  <c:v>1.2217304763960306</c:v>
                </c:pt>
                <c:pt idx="15">
                  <c:v>1.3089969389957472</c:v>
                </c:pt>
                <c:pt idx="16">
                  <c:v>1.3962634015954636</c:v>
                </c:pt>
                <c:pt idx="17">
                  <c:v>1.48352986419518</c:v>
                </c:pt>
                <c:pt idx="18">
                  <c:v>1.5707963267948966</c:v>
                </c:pt>
                <c:pt idx="19">
                  <c:v>1.6580627893946129</c:v>
                </c:pt>
                <c:pt idx="20">
                  <c:v>1.7453292519943295</c:v>
                </c:pt>
                <c:pt idx="21">
                  <c:v>1.8325957145940459</c:v>
                </c:pt>
                <c:pt idx="22">
                  <c:v>1.9198621771937625</c:v>
                </c:pt>
                <c:pt idx="23">
                  <c:v>2.0071286397934789</c:v>
                </c:pt>
                <c:pt idx="24">
                  <c:v>2.0943951023931953</c:v>
                </c:pt>
                <c:pt idx="25">
                  <c:v>2.1816615649929116</c:v>
                </c:pt>
                <c:pt idx="26">
                  <c:v>2.2689280275926285</c:v>
                </c:pt>
                <c:pt idx="27">
                  <c:v>2.3561944901923448</c:v>
                </c:pt>
                <c:pt idx="28">
                  <c:v>2.4434609527920612</c:v>
                </c:pt>
                <c:pt idx="29">
                  <c:v>2.5307274153917776</c:v>
                </c:pt>
                <c:pt idx="30">
                  <c:v>2.6179938779914944</c:v>
                </c:pt>
                <c:pt idx="31">
                  <c:v>2.7052603405912108</c:v>
                </c:pt>
                <c:pt idx="32">
                  <c:v>2.7925268031909272</c:v>
                </c:pt>
                <c:pt idx="33">
                  <c:v>2.8797932657906435</c:v>
                </c:pt>
                <c:pt idx="34">
                  <c:v>2.9670597283903599</c:v>
                </c:pt>
                <c:pt idx="35">
                  <c:v>3.0543261909900767</c:v>
                </c:pt>
                <c:pt idx="36">
                  <c:v>3.1415926535897931</c:v>
                </c:pt>
              </c:numCache>
            </c:numRef>
          </c:xVal>
          <c:yVal>
            <c:numRef>
              <c:f>Sheet1!$D$2:$D$38</c:f>
              <c:numCache>
                <c:formatCode>General</c:formatCode>
                <c:ptCount val="37"/>
                <c:pt idx="0">
                  <c:v>-2.481354816340198E-4</c:v>
                </c:pt>
                <c:pt idx="1">
                  <c:v>-3.4170203009310077E-2</c:v>
                </c:pt>
                <c:pt idx="2">
                  <c:v>-5.0778897812623715E-2</c:v>
                </c:pt>
                <c:pt idx="3">
                  <c:v>-4.7698632003669188E-2</c:v>
                </c:pt>
                <c:pt idx="4">
                  <c:v>-7.1203673875896642E-2</c:v>
                </c:pt>
                <c:pt idx="5">
                  <c:v>-6.1565814782512031E-2</c:v>
                </c:pt>
                <c:pt idx="6">
                  <c:v>-6.1585023250091853E-2</c:v>
                </c:pt>
                <c:pt idx="7">
                  <c:v>-7.6357111013341666E-2</c:v>
                </c:pt>
                <c:pt idx="8">
                  <c:v>-7.0242739037592747E-2</c:v>
                </c:pt>
                <c:pt idx="9">
                  <c:v>-7.2063441419449079E-2</c:v>
                </c:pt>
                <c:pt idx="10">
                  <c:v>-5.4431014025515964E-2</c:v>
                </c:pt>
                <c:pt idx="11">
                  <c:v>-6.3586025029903931E-2</c:v>
                </c:pt>
                <c:pt idx="12">
                  <c:v>-6.9634672274783899E-2</c:v>
                </c:pt>
                <c:pt idx="13">
                  <c:v>-6.9121449390450146E-2</c:v>
                </c:pt>
                <c:pt idx="14">
                  <c:v>-5.4767270689186465E-2</c:v>
                </c:pt>
                <c:pt idx="15">
                  <c:v>-6.7734174317896106E-2</c:v>
                </c:pt>
                <c:pt idx="16">
                  <c:v>-3.036914355966126E-2</c:v>
                </c:pt>
                <c:pt idx="17">
                  <c:v>-1.047889200553565E-2</c:v>
                </c:pt>
                <c:pt idx="18">
                  <c:v>-8.6185038707664097E-5</c:v>
                </c:pt>
                <c:pt idx="19">
                  <c:v>1.0516091580590683E-2</c:v>
                </c:pt>
                <c:pt idx="20">
                  <c:v>3.0767640202002844E-2</c:v>
                </c:pt>
                <c:pt idx="21">
                  <c:v>6.8839772226522808E-2</c:v>
                </c:pt>
                <c:pt idx="22">
                  <c:v>5.3994415652076994E-2</c:v>
                </c:pt>
                <c:pt idx="23">
                  <c:v>6.9765887068951926E-2</c:v>
                </c:pt>
                <c:pt idx="24">
                  <c:v>6.6843584513800139E-2</c:v>
                </c:pt>
                <c:pt idx="25">
                  <c:v>6.2583274706921349E-2</c:v>
                </c:pt>
                <c:pt idx="26">
                  <c:v>5.4549716300102309E-2</c:v>
                </c:pt>
                <c:pt idx="27">
                  <c:v>7.583773319791956E-2</c:v>
                </c:pt>
                <c:pt idx="28">
                  <c:v>7.0065438360958368E-2</c:v>
                </c:pt>
                <c:pt idx="29">
                  <c:v>8.0926870706645407E-2</c:v>
                </c:pt>
                <c:pt idx="30">
                  <c:v>6.1786274525273813E-2</c:v>
                </c:pt>
                <c:pt idx="31">
                  <c:v>5.644731381453743E-2</c:v>
                </c:pt>
                <c:pt idx="32">
                  <c:v>7.0555798178302695E-2</c:v>
                </c:pt>
                <c:pt idx="33">
                  <c:v>4.7012755730280992E-2</c:v>
                </c:pt>
                <c:pt idx="34">
                  <c:v>4.9902252679533167E-2</c:v>
                </c:pt>
                <c:pt idx="35">
                  <c:v>3.5444694990053066E-2</c:v>
                </c:pt>
                <c:pt idx="36">
                  <c:v>-2.423451475907269E-4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85-6948-B8D3-FE53350A8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7567"/>
        <c:axId val="3579215"/>
      </c:scatterChart>
      <c:valAx>
        <c:axId val="357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3579215"/>
        <c:crosses val="autoZero"/>
        <c:crossBetween val="midCat"/>
      </c:valAx>
      <c:valAx>
        <c:axId val="357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3577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139700</xdr:colOff>
      <xdr:row>4</xdr:row>
      <xdr:rowOff>82550</xdr:rowOff>
    </xdr:from>
    <xdr:to>
      <xdr:col>18</xdr:col>
      <xdr:colOff>228600</xdr:colOff>
      <xdr:row>27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E2B7E1-8D04-6C59-B6B1-E7E0BBD18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374650</xdr:colOff>
      <xdr:row>33</xdr:row>
      <xdr:rowOff>101600</xdr:rowOff>
    </xdr:from>
    <xdr:to>
      <xdr:col>14</xdr:col>
      <xdr:colOff>596900</xdr:colOff>
      <xdr:row>54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404EB7-A519-9699-58F6-3A0DCF952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7" workbookViewId="0">
      <selection activeCell="N31" sqref="N31"/>
    </sheetView>
  </sheetViews>
  <sheetFormatPr baseColWidth="10" defaultColWidth="8.83203125" defaultRowHeight="15" x14ac:dyDescent="0.2"/>
  <cols>
    <col min="2" max="2" width="17.83203125" customWidth="1"/>
    <col min="3" max="3" width="19" customWidth="1"/>
  </cols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>
        <v>0</v>
      </c>
      <c r="B2">
        <v>-3.13441502754021E-4</v>
      </c>
      <c r="C2" cm="1">
        <f t="array" ref="C2:C38">-(2.5^2)*0.0157*SIN(2*A2:A38)</f>
        <v>0</v>
      </c>
      <c r="D2">
        <v>-2.481354816340198E-4</v>
      </c>
    </row>
    <row r="3" spans="1:4" x14ac:dyDescent="0.2">
      <c r="A3">
        <v>8.7266462599716474E-2</v>
      </c>
      <c r="B3">
        <v>-4.3807297072863918E-2</v>
      </c>
      <c r="C3">
        <v>-1.7039227433567537E-2</v>
      </c>
      <c r="D3">
        <v>-3.4170203009310077E-2</v>
      </c>
    </row>
    <row r="4" spans="1:4" x14ac:dyDescent="0.2">
      <c r="A4">
        <v>0.17453292519943295</v>
      </c>
      <c r="B4">
        <v>-6.4216841199362579E-2</v>
      </c>
      <c r="C4">
        <v>-3.3560726563831238E-2</v>
      </c>
      <c r="D4">
        <v>-5.0778897812623715E-2</v>
      </c>
    </row>
    <row r="5" spans="1:4" x14ac:dyDescent="0.2">
      <c r="A5">
        <v>0.26179938779914941</v>
      </c>
      <c r="B5">
        <v>-5.9266647353117263E-2</v>
      </c>
      <c r="C5">
        <v>-4.9062499999999988E-2</v>
      </c>
      <c r="D5">
        <v>-4.7698632003669188E-2</v>
      </c>
    </row>
    <row r="6" spans="1:4" x14ac:dyDescent="0.2">
      <c r="A6">
        <v>0.3490658503988659</v>
      </c>
      <c r="B6">
        <v>-8.7825900689753683E-2</v>
      </c>
      <c r="C6">
        <v>-6.3073534200491652E-2</v>
      </c>
      <c r="D6">
        <v>-7.1203673875896642E-2</v>
      </c>
    </row>
    <row r="7" spans="1:4" x14ac:dyDescent="0.2">
      <c r="A7">
        <v>0.43633231299858238</v>
      </c>
      <c r="B7">
        <v>-7.4695507066749461E-2</v>
      </c>
      <c r="C7">
        <v>-7.516811098104971E-2</v>
      </c>
      <c r="D7">
        <v>-6.1565814782512031E-2</v>
      </c>
    </row>
    <row r="8" spans="1:4" x14ac:dyDescent="0.2">
      <c r="A8">
        <v>0.52359877559829882</v>
      </c>
      <c r="B8">
        <v>-7.4249701527074149E-2</v>
      </c>
      <c r="C8">
        <v>-8.4978742746348035E-2</v>
      </c>
      <c r="D8">
        <v>-6.1585023250091853E-2</v>
      </c>
    </row>
    <row r="9" spans="1:4" x14ac:dyDescent="0.2">
      <c r="A9">
        <v>0.6108652381980153</v>
      </c>
      <c r="B9">
        <v>-9.1327974001579132E-2</v>
      </c>
      <c r="C9">
        <v>-9.2207338414617243E-2</v>
      </c>
      <c r="D9">
        <v>-7.6357111013341666E-2</v>
      </c>
    </row>
    <row r="10" spans="1:4" x14ac:dyDescent="0.2">
      <c r="A10">
        <v>0.69813170079773179</v>
      </c>
      <c r="B10">
        <v>-8.2850141788237436E-2</v>
      </c>
      <c r="C10">
        <v>-9.6634260764322896E-2</v>
      </c>
      <c r="D10">
        <v>-7.0242739037592747E-2</v>
      </c>
    </row>
    <row r="11" spans="1:4" x14ac:dyDescent="0.2">
      <c r="A11">
        <v>0.78539816339744828</v>
      </c>
      <c r="B11">
        <v>-8.3517871231144625E-2</v>
      </c>
      <c r="C11">
        <v>-9.812499999999999E-2</v>
      </c>
      <c r="D11">
        <v>-7.2063441419449079E-2</v>
      </c>
    </row>
    <row r="12" spans="1:4" x14ac:dyDescent="0.2">
      <c r="A12">
        <v>0.87266462599716477</v>
      </c>
      <c r="B12">
        <v>-6.2128262670172928E-2</v>
      </c>
      <c r="C12">
        <v>-9.6634260764322896E-2</v>
      </c>
      <c r="D12">
        <v>-5.4431014025515964E-2</v>
      </c>
    </row>
    <row r="13" spans="1:4" x14ac:dyDescent="0.2">
      <c r="A13">
        <v>0.95993108859688125</v>
      </c>
      <c r="B13">
        <v>-7.2049984535188946E-2</v>
      </c>
      <c r="C13">
        <v>-9.2207338414617257E-2</v>
      </c>
      <c r="D13">
        <v>-6.3586025029903931E-2</v>
      </c>
    </row>
    <row r="14" spans="1:4" x14ac:dyDescent="0.2">
      <c r="A14">
        <v>1.0471975511965976</v>
      </c>
      <c r="B14">
        <v>-7.7880914041881008E-2</v>
      </c>
      <c r="C14">
        <v>-8.4978742746348035E-2</v>
      </c>
      <c r="D14">
        <v>-6.9634672274783899E-2</v>
      </c>
    </row>
    <row r="15" spans="1:4" x14ac:dyDescent="0.2">
      <c r="A15">
        <v>1.1344640137963142</v>
      </c>
      <c r="B15">
        <v>-7.670624092582673E-2</v>
      </c>
      <c r="C15">
        <v>-7.516811098104971E-2</v>
      </c>
      <c r="D15">
        <v>-6.9121449390450146E-2</v>
      </c>
    </row>
    <row r="16" spans="1:4" x14ac:dyDescent="0.2">
      <c r="A16">
        <v>1.2217304763960306</v>
      </c>
      <c r="B16">
        <v>-5.9615004487133673E-2</v>
      </c>
      <c r="C16">
        <v>-6.3073534200491679E-2</v>
      </c>
      <c r="D16">
        <v>-5.4767270689186465E-2</v>
      </c>
    </row>
    <row r="17" spans="1:4" x14ac:dyDescent="0.2">
      <c r="A17">
        <v>1.3089969389957472</v>
      </c>
      <c r="B17">
        <v>-7.3792494393496305E-2</v>
      </c>
      <c r="C17">
        <v>-4.9062499999999988E-2</v>
      </c>
      <c r="D17">
        <v>-6.7734174317896106E-2</v>
      </c>
    </row>
    <row r="18" spans="1:4" x14ac:dyDescent="0.2">
      <c r="A18">
        <v>1.3962634015954636</v>
      </c>
      <c r="B18">
        <v>-3.2651458109158989E-2</v>
      </c>
      <c r="C18">
        <v>-3.3560726563831259E-2</v>
      </c>
      <c r="D18">
        <v>-3.036914355966126E-2</v>
      </c>
    </row>
    <row r="19" spans="1:4" x14ac:dyDescent="0.2">
      <c r="A19">
        <v>1.48352986419518</v>
      </c>
      <c r="B19">
        <v>-1.1206597362400577E-2</v>
      </c>
      <c r="C19">
        <v>-1.7039227433567575E-2</v>
      </c>
      <c r="D19">
        <v>-1.047889200553565E-2</v>
      </c>
    </row>
    <row r="20" spans="1:4" x14ac:dyDescent="0.2">
      <c r="A20">
        <v>1.5707963267948966</v>
      </c>
      <c r="B20">
        <v>-9.172749778181094E-5</v>
      </c>
      <c r="C20">
        <v>-1.2016846716633401E-17</v>
      </c>
      <c r="D20">
        <v>-8.6185038707664097E-5</v>
      </c>
    </row>
    <row r="21" spans="1:4" x14ac:dyDescent="0.2">
      <c r="A21">
        <v>1.6580627893946129</v>
      </c>
      <c r="B21">
        <v>1.1246334214242162E-2</v>
      </c>
      <c r="C21">
        <v>1.7039227433567505E-2</v>
      </c>
      <c r="D21">
        <v>1.0516091580590683E-2</v>
      </c>
    </row>
    <row r="22" spans="1:4" x14ac:dyDescent="0.2">
      <c r="A22">
        <v>1.7453292519943295</v>
      </c>
      <c r="B22">
        <v>3.3082898974769286E-2</v>
      </c>
      <c r="C22">
        <v>3.3560726563831231E-2</v>
      </c>
      <c r="D22">
        <v>3.0767640202002844E-2</v>
      </c>
    </row>
    <row r="23" spans="1:4" x14ac:dyDescent="0.2">
      <c r="A23">
        <v>1.8325957145940459</v>
      </c>
      <c r="B23">
        <v>7.5000851174903696E-2</v>
      </c>
      <c r="C23">
        <v>4.9062499999999974E-2</v>
      </c>
      <c r="D23">
        <v>6.8839772226522808E-2</v>
      </c>
    </row>
    <row r="24" spans="1:4" x14ac:dyDescent="0.2">
      <c r="A24">
        <v>1.9198621771937625</v>
      </c>
      <c r="B24">
        <v>5.8796311269577961E-2</v>
      </c>
      <c r="C24">
        <v>6.3073534200491652E-2</v>
      </c>
      <c r="D24">
        <v>5.3994415652076994E-2</v>
      </c>
    </row>
    <row r="25" spans="1:4" x14ac:dyDescent="0.2">
      <c r="A25">
        <v>2.0071286397934789</v>
      </c>
      <c r="B25">
        <v>7.7524829829209774E-2</v>
      </c>
      <c r="C25">
        <v>7.5168110981049696E-2</v>
      </c>
      <c r="D25">
        <v>6.9765887068951926E-2</v>
      </c>
    </row>
    <row r="26" spans="1:4" x14ac:dyDescent="0.2">
      <c r="A26">
        <v>2.0943951023931953</v>
      </c>
      <c r="B26">
        <v>7.4713664468502972E-2</v>
      </c>
      <c r="C26">
        <v>8.4978742746348007E-2</v>
      </c>
      <c r="D26">
        <v>6.6843584513800139E-2</v>
      </c>
    </row>
    <row r="27" spans="1:4" x14ac:dyDescent="0.2">
      <c r="A27">
        <v>2.1816615649929116</v>
      </c>
      <c r="B27">
        <v>7.0922440480039886E-2</v>
      </c>
      <c r="C27">
        <v>9.2207338414617229E-2</v>
      </c>
      <c r="D27">
        <v>6.2583274706921349E-2</v>
      </c>
    </row>
    <row r="28" spans="1:4" x14ac:dyDescent="0.2">
      <c r="A28">
        <v>2.2689280275926285</v>
      </c>
      <c r="B28">
        <v>6.2256025698402516E-2</v>
      </c>
      <c r="C28">
        <v>9.6634260764322896E-2</v>
      </c>
      <c r="D28">
        <v>5.4549716300102309E-2</v>
      </c>
    </row>
    <row r="29" spans="1:4" x14ac:dyDescent="0.2">
      <c r="A29">
        <v>2.3561944901923448</v>
      </c>
      <c r="B29">
        <v>8.7969946248796463E-2</v>
      </c>
      <c r="C29">
        <v>9.812499999999999E-2</v>
      </c>
      <c r="D29">
        <v>7.583773319791956E-2</v>
      </c>
    </row>
    <row r="30" spans="1:4" x14ac:dyDescent="0.2">
      <c r="A30">
        <v>2.4434609527920612</v>
      </c>
      <c r="B30">
        <v>8.2645424903713627E-2</v>
      </c>
      <c r="C30">
        <v>9.663426076432291E-2</v>
      </c>
      <c r="D30">
        <v>7.0065438360958368E-2</v>
      </c>
    </row>
    <row r="31" spans="1:4" x14ac:dyDescent="0.2">
      <c r="A31">
        <v>2.5307274153917776</v>
      </c>
      <c r="B31">
        <v>9.6819840914275146E-2</v>
      </c>
      <c r="C31">
        <v>9.2207338414617271E-2</v>
      </c>
      <c r="D31">
        <v>8.0926870706645407E-2</v>
      </c>
    </row>
    <row r="32" spans="1:4" x14ac:dyDescent="0.2">
      <c r="A32">
        <v>2.6179938779914944</v>
      </c>
      <c r="B32">
        <v>7.4518283162524068E-2</v>
      </c>
      <c r="C32">
        <v>8.4978742746348035E-2</v>
      </c>
      <c r="D32">
        <v>6.1786274525273813E-2</v>
      </c>
    </row>
    <row r="33" spans="1:4" x14ac:dyDescent="0.2">
      <c r="A33">
        <v>2.7052603405912108</v>
      </c>
      <c r="B33">
        <v>6.8440002211803908E-2</v>
      </c>
      <c r="C33">
        <v>7.5168110981049724E-2</v>
      </c>
      <c r="D33">
        <v>5.644731381453743E-2</v>
      </c>
    </row>
    <row r="34" spans="1:4" x14ac:dyDescent="0.2">
      <c r="A34">
        <v>2.7925268031909272</v>
      </c>
      <c r="B34">
        <v>8.7044204309703055E-2</v>
      </c>
      <c r="C34">
        <v>6.3073534200491693E-2</v>
      </c>
      <c r="D34">
        <v>7.0555798178302695E-2</v>
      </c>
    </row>
    <row r="35" spans="1:4" x14ac:dyDescent="0.2">
      <c r="A35">
        <v>2.8797932657906435</v>
      </c>
      <c r="B35">
        <v>5.8439421036561565E-2</v>
      </c>
      <c r="C35">
        <v>4.9062500000000037E-2</v>
      </c>
      <c r="D35">
        <v>4.7012755730280992E-2</v>
      </c>
    </row>
    <row r="36" spans="1:4" x14ac:dyDescent="0.2">
      <c r="A36">
        <v>2.9670597283903599</v>
      </c>
      <c r="B36">
        <v>6.313820376079872E-2</v>
      </c>
      <c r="C36">
        <v>3.3560726563831307E-2</v>
      </c>
      <c r="D36">
        <v>4.9902252679533167E-2</v>
      </c>
    </row>
    <row r="37" spans="1:4" x14ac:dyDescent="0.2">
      <c r="A37">
        <v>3.0543261909900767</v>
      </c>
      <c r="B37">
        <v>4.545719796837551E-2</v>
      </c>
      <c r="C37">
        <v>1.7039227433567544E-2</v>
      </c>
      <c r="D37">
        <v>3.5444694990053066E-2</v>
      </c>
    </row>
    <row r="38" spans="1:4" x14ac:dyDescent="0.2">
      <c r="A38">
        <v>3.1415926535897931</v>
      </c>
      <c r="B38">
        <v>-3.0631538692222211E-4</v>
      </c>
      <c r="C38">
        <v>2.4033693433266803E-17</v>
      </c>
      <c r="D38">
        <v>-2.423451475907269E-4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2026-04-15T19:35:03Z</dcterms:created>
  <dcterms:modified xsi:type="dcterms:W3CDTF">2026-04-20T15:08:45Z</dcterms:modified>
</cp:coreProperties>
</file>