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EE568_Project_1/Q2/"/>
    </mc:Choice>
  </mc:AlternateContent>
  <xr:revisionPtr revIDLastSave="0" documentId="13_ncr:1_{0E4FA892-36EA-8346-AD8C-B93792EB5F01}" xr6:coauthVersionLast="47" xr6:coauthVersionMax="47" xr10:uidLastSave="{00000000-0000-0000-0000-000000000000}"/>
  <bookViews>
    <workbookView xWindow="8200" yWindow="194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<sst xmlns="http://schemas.openxmlformats.org/spreadsheetml/2006/main" count="4" uniqueCount="4">
  <si>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Theta(rad)</t>
  </si>
  <si>
    <t>Wm(J)</t>
  </si>
  <si>
    <t>Inductance FEA(H)</t>
  </si>
  <si>
    <t>Analytical Inductance(H)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</si>
</sst>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Analytical and</a:t>
            </a:r>
            <a:r>
              <a:rPr lang="en-US" baseline="0"/>
              <a:t> FEA Inductance vs. Theta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Inductance FEA(H)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Sheet1!$C$2:$C$38</c:f>
              <c:numCache>
                <c:formatCode>General</c:formatCode>
                <c:ptCount val="37"/>
                <c:pt idx="0">
                  <c:v>4.9182536412728073E-2</c:v>
                </c:pt>
                <c:pt idx="1">
                  <c:v>4.8390682484827592E-2</c:v>
                </c:pt>
                <c:pt idx="2">
                  <c:v>4.6554154365394826E-2</c:v>
                </c:pt>
                <c:pt idx="3">
                  <c:v>4.4427623004417945E-2</c:v>
                </c:pt>
                <c:pt idx="4">
                  <c:v>4.2204264641495327E-2</c:v>
                </c:pt>
                <c:pt idx="5">
                  <c:v>3.9939804539520368E-2</c:v>
                </c:pt>
                <c:pt idx="6">
                  <c:v>3.7644504716158607E-2</c:v>
                </c:pt>
                <c:pt idx="7">
                  <c:v>3.5392668274318084E-2</c:v>
                </c:pt>
                <c:pt idx="8">
                  <c:v>3.3026326629640196E-2</c:v>
                </c:pt>
                <c:pt idx="9">
                  <c:v>3.072351781426217E-2</c:v>
                </c:pt>
                <c:pt idx="10">
                  <c:v>2.8384554378304335E-2</c:v>
                </c:pt>
                <c:pt idx="11">
                  <c:v>2.6065158357552146E-2</c:v>
                </c:pt>
                <c:pt idx="12">
                  <c:v>2.3710949411691717E-2</c:v>
                </c:pt>
                <c:pt idx="13">
                  <c:v>2.136181556520984E-2</c:v>
                </c:pt>
                <c:pt idx="14">
                  <c:v>1.9006925863960428E-2</c:v>
                </c:pt>
                <c:pt idx="15">
                  <c:v>1.6693722870117996E-2</c:v>
                </c:pt>
                <c:pt idx="16">
                  <c:v>1.5199761064827271E-2</c:v>
                </c:pt>
                <c:pt idx="17">
                  <c:v>1.4647107270879003E-2</c:v>
                </c:pt>
                <c:pt idx="18">
                  <c:v>1.4506818206124223E-2</c:v>
                </c:pt>
                <c:pt idx="19">
                  <c:v>1.46491751098272E-2</c:v>
                </c:pt>
                <c:pt idx="20">
                  <c:v>1.5201086119244599E-2</c:v>
                </c:pt>
                <c:pt idx="21">
                  <c:v>1.6685372140200737E-2</c:v>
                </c:pt>
                <c:pt idx="22">
                  <c:v>1.9004988150593816E-2</c:v>
                </c:pt>
                <c:pt idx="23">
                  <c:v>2.1352748022511522E-2</c:v>
                </c:pt>
                <c:pt idx="24">
                  <c:v>2.3707518682786269E-2</c:v>
                </c:pt>
                <c:pt idx="25">
                  <c:v>2.6062434613893837E-2</c:v>
                </c:pt>
                <c:pt idx="26">
                  <c:v>2.8389119897822983E-2</c:v>
                </c:pt>
                <c:pt idx="27">
                  <c:v>3.0720223960863314E-2</c:v>
                </c:pt>
                <c:pt idx="28">
                  <c:v>3.3025200880953835E-2</c:v>
                </c:pt>
                <c:pt idx="29">
                  <c:v>3.5390872770915904E-2</c:v>
                </c:pt>
                <c:pt idx="30">
                  <c:v>3.7638020864003911E-2</c:v>
                </c:pt>
                <c:pt idx="31">
                  <c:v>3.9929817551476794E-2</c:v>
                </c:pt>
                <c:pt idx="32">
                  <c:v>4.2196144717027616E-2</c:v>
                </c:pt>
                <c:pt idx="33">
                  <c:v>4.4418292431017727E-2</c:v>
                </c:pt>
                <c:pt idx="34">
                  <c:v>4.6547553208950536E-2</c:v>
                </c:pt>
                <c:pt idx="35">
                  <c:v>4.8385798972820096E-2</c:v>
                </c:pt>
                <c:pt idx="36">
                  <c:v>4.9181979318287626E-2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BB-9C45-A5F5-51086E715AA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Analytical Inductance(H)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Sheet1!$D$2:$D$38</c:f>
              <c:numCache>
                <c:formatCode>General</c:formatCode>
                <c:ptCount val="37"/>
                <c:pt idx="0">
                  <c:v>4.24E-2</c:v>
                </c:pt>
                <c:pt idx="1">
                  <c:v>4.2161481722291665E-2</c:v>
                </c:pt>
                <c:pt idx="2">
                  <c:v>4.1453174146338763E-2</c:v>
                </c:pt>
                <c:pt idx="3">
                  <c:v>4.0296598839415686E-2</c:v>
                </c:pt>
                <c:pt idx="4">
                  <c:v>3.8726897756967957E-2</c:v>
                </c:pt>
                <c:pt idx="5">
                  <c:v>3.6791765472078672E-2</c:v>
                </c:pt>
                <c:pt idx="6">
                  <c:v>3.4550000000000004E-2</c:v>
                </c:pt>
                <c:pt idx="7">
                  <c:v>3.2069716250213001E-2</c:v>
                </c:pt>
                <c:pt idx="8">
                  <c:v>2.9426276389370808E-2</c:v>
                </c:pt>
                <c:pt idx="9">
                  <c:v>2.6700000000000002E-2</c:v>
                </c:pt>
                <c:pt idx="10">
                  <c:v>2.3973723610629195E-2</c:v>
                </c:pt>
                <c:pt idx="11">
                  <c:v>2.1330283749787002E-2</c:v>
                </c:pt>
                <c:pt idx="12">
                  <c:v>1.8850000000000006E-2</c:v>
                </c:pt>
                <c:pt idx="13">
                  <c:v>1.6608234527921335E-2</c:v>
                </c:pt>
                <c:pt idx="14">
                  <c:v>1.467310224303205E-2</c:v>
                </c:pt>
                <c:pt idx="15">
                  <c:v>1.3103401160584316E-2</c:v>
                </c:pt>
                <c:pt idx="16">
                  <c:v>1.1946825853661242E-2</c:v>
                </c:pt>
                <c:pt idx="17">
                  <c:v>1.1238518277708337E-2</c:v>
                </c:pt>
                <c:pt idx="18">
                  <c:v>1.1000000000000003E-2</c:v>
                </c:pt>
                <c:pt idx="19">
                  <c:v>1.1238518277708335E-2</c:v>
                </c:pt>
                <c:pt idx="20">
                  <c:v>1.194682585366124E-2</c:v>
                </c:pt>
                <c:pt idx="21">
                  <c:v>1.3103401160584314E-2</c:v>
                </c:pt>
                <c:pt idx="22">
                  <c:v>1.4673102243032048E-2</c:v>
                </c:pt>
                <c:pt idx="23">
                  <c:v>1.6608234527921331E-2</c:v>
                </c:pt>
                <c:pt idx="24">
                  <c:v>1.8849999999999995E-2</c:v>
                </c:pt>
                <c:pt idx="25">
                  <c:v>2.1330283749786995E-2</c:v>
                </c:pt>
                <c:pt idx="26">
                  <c:v>2.3973723610629195E-2</c:v>
                </c:pt>
                <c:pt idx="27">
                  <c:v>2.6699999999999998E-2</c:v>
                </c:pt>
                <c:pt idx="28">
                  <c:v>2.9426276389370801E-2</c:v>
                </c:pt>
                <c:pt idx="29">
                  <c:v>3.2069716250212987E-2</c:v>
                </c:pt>
                <c:pt idx="30">
                  <c:v>3.4550000000000004E-2</c:v>
                </c:pt>
                <c:pt idx="31">
                  <c:v>3.6791765472078665E-2</c:v>
                </c:pt>
                <c:pt idx="32">
                  <c:v>3.872689775696795E-2</c:v>
                </c:pt>
                <c:pt idx="33">
                  <c:v>4.0296598839415679E-2</c:v>
                </c:pt>
                <c:pt idx="34">
                  <c:v>4.1453174146338756E-2</c:v>
                </c:pt>
                <c:pt idx="35">
                  <c:v>4.2161481722291665E-2</c:v>
                </c:pt>
                <c:pt idx="36">
                  <c:v>4.24E-2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BB-9C45-A5F5-51086E715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647920"/>
        <c:axId val="1248649568"/>
      </c:scatterChart>
      <c:valAx>
        <c:axId val="124864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248649568"/>
        <c:crosses val="autoZero"/>
        <c:crossBetween val="midCat"/>
      </c:valAx>
      <c:valAx>
        <c:axId val="124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24864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654050</xdr:colOff>
      <xdr:row>11</xdr:row>
      <xdr:rowOff>50800</xdr:rowOff>
    </xdr:from>
    <xdr:to>
      <xdr:col>17</xdr:col>
      <xdr:colOff>76200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B74CEB-B15B-C325-3669-55F2D488B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3" max="3" width="15.1640625" customWidth="1"/>
    <col min="4" max="4" width="20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0.15369542628977523</v>
      </c>
      <c r="C2" cm="1">
        <f t="array" ref="C2:C38">2*B2:B38/(2.5^2)</f>
        <v>4.9182536412728073E-2</v>
      </c>
      <c r="D2" cm="1">
        <f t="array" ref="D2:D38">0.0267+0.0157*COS(2*A2:A38)</f>
        <v>4.24E-2</v>
      </c>
    </row>
    <row r="3" spans="1:4" x14ac:dyDescent="0.2">
      <c r="A3">
        <v>8.7266462599716474E-2</v>
      </c>
      <c r="B3">
        <v>0.15122088276508622</v>
      </c>
      <c r="C3">
        <v>4.8390682484827592E-2</v>
      </c>
      <c r="D3">
        <v>4.2161481722291665E-2</v>
      </c>
    </row>
    <row r="4" spans="1:4" x14ac:dyDescent="0.2">
      <c r="A4">
        <v>0.17453292519943295</v>
      </c>
      <c r="B4">
        <v>0.14548173239185883</v>
      </c>
      <c r="C4">
        <v>4.6554154365394826E-2</v>
      </c>
      <c r="D4">
        <v>4.1453174146338763E-2</v>
      </c>
    </row>
    <row r="5" spans="1:4" x14ac:dyDescent="0.2">
      <c r="A5">
        <v>0.26179938779914941</v>
      </c>
      <c r="B5">
        <v>0.13883632188880607</v>
      </c>
      <c r="C5">
        <v>4.4427623004417945E-2</v>
      </c>
      <c r="D5">
        <v>4.0296598839415686E-2</v>
      </c>
    </row>
    <row r="6" spans="1:4" x14ac:dyDescent="0.2">
      <c r="A6">
        <v>0.3490658503988659</v>
      </c>
      <c r="B6">
        <v>0.1318883270046729</v>
      </c>
      <c r="C6">
        <v>4.2204264641495327E-2</v>
      </c>
      <c r="D6">
        <v>3.8726897756967957E-2</v>
      </c>
    </row>
    <row r="7" spans="1:4" x14ac:dyDescent="0.2">
      <c r="A7">
        <v>0.43633231299858238</v>
      </c>
      <c r="B7">
        <v>0.12481188918600114</v>
      </c>
      <c r="C7">
        <v>3.9939804539520368E-2</v>
      </c>
      <c r="D7">
        <v>3.6791765472078672E-2</v>
      </c>
    </row>
    <row r="8" spans="1:4" x14ac:dyDescent="0.2">
      <c r="A8">
        <v>0.52359877559829882</v>
      </c>
      <c r="B8">
        <v>0.11763907723799565</v>
      </c>
      <c r="C8">
        <v>3.7644504716158607E-2</v>
      </c>
      <c r="D8">
        <v>3.4550000000000004E-2</v>
      </c>
    </row>
    <row r="9" spans="1:4" x14ac:dyDescent="0.2">
      <c r="A9">
        <v>0.6108652381980153</v>
      </c>
      <c r="B9">
        <v>0.11060208835724401</v>
      </c>
      <c r="C9">
        <v>3.5392668274318084E-2</v>
      </c>
      <c r="D9">
        <v>3.2069716250213001E-2</v>
      </c>
    </row>
    <row r="10" spans="1:4" x14ac:dyDescent="0.2">
      <c r="A10">
        <v>0.69813170079773179</v>
      </c>
      <c r="B10">
        <v>0.10320727071762562</v>
      </c>
      <c r="C10">
        <v>3.3026326629640196E-2</v>
      </c>
      <c r="D10">
        <v>2.9426276389370808E-2</v>
      </c>
    </row>
    <row r="11" spans="1:4" x14ac:dyDescent="0.2">
      <c r="A11">
        <v>0.78539816339744828</v>
      </c>
      <c r="B11">
        <v>9.6010993169569278E-2</v>
      </c>
      <c r="C11">
        <v>3.072351781426217E-2</v>
      </c>
      <c r="D11">
        <v>2.6700000000000002E-2</v>
      </c>
    </row>
    <row r="12" spans="1:4" x14ac:dyDescent="0.2">
      <c r="A12">
        <v>0.87266462599716477</v>
      </c>
      <c r="B12">
        <v>8.8701732432201044E-2</v>
      </c>
      <c r="C12">
        <v>2.8384554378304335E-2</v>
      </c>
      <c r="D12">
        <v>2.3973723610629195E-2</v>
      </c>
    </row>
    <row r="13" spans="1:4" x14ac:dyDescent="0.2">
      <c r="A13">
        <v>0.95993108859688125</v>
      </c>
      <c r="B13">
        <v>8.145361986735046E-2</v>
      </c>
      <c r="C13">
        <v>2.6065158357552146E-2</v>
      </c>
      <c r="D13">
        <v>2.1330283749787002E-2</v>
      </c>
    </row>
    <row r="14" spans="1:4" x14ac:dyDescent="0.2">
      <c r="A14">
        <v>1.0471975511965976</v>
      </c>
      <c r="B14">
        <v>7.4096716911536617E-2</v>
      </c>
      <c r="C14">
        <v>2.3710949411691717E-2</v>
      </c>
      <c r="D14">
        <v>1.8850000000000006E-2</v>
      </c>
    </row>
    <row r="15" spans="1:4" x14ac:dyDescent="0.2">
      <c r="A15">
        <v>1.1344640137963142</v>
      </c>
      <c r="B15">
        <v>6.6755673641280752E-2</v>
      </c>
      <c r="C15">
        <v>2.136181556520984E-2</v>
      </c>
      <c r="D15">
        <v>1.6608234527921335E-2</v>
      </c>
    </row>
    <row r="16" spans="1:4" x14ac:dyDescent="0.2">
      <c r="A16">
        <v>1.2217304763960306</v>
      </c>
      <c r="B16">
        <v>5.939664332487634E-2</v>
      </c>
      <c r="C16">
        <v>1.9006925863960428E-2</v>
      </c>
      <c r="D16">
        <v>1.467310224303205E-2</v>
      </c>
    </row>
    <row r="17" spans="1:4" x14ac:dyDescent="0.2">
      <c r="A17">
        <v>1.3089969389957472</v>
      </c>
      <c r="B17">
        <v>5.2167883969118742E-2</v>
      </c>
      <c r="C17">
        <v>1.6693722870117996E-2</v>
      </c>
      <c r="D17">
        <v>1.3103401160584316E-2</v>
      </c>
    </row>
    <row r="18" spans="1:4" x14ac:dyDescent="0.2">
      <c r="A18">
        <v>1.3962634015954636</v>
      </c>
      <c r="B18">
        <v>4.7499253327585221E-2</v>
      </c>
      <c r="C18">
        <v>1.5199761064827271E-2</v>
      </c>
      <c r="D18">
        <v>1.1946825853661242E-2</v>
      </c>
    </row>
    <row r="19" spans="1:4" x14ac:dyDescent="0.2">
      <c r="A19">
        <v>1.48352986419518</v>
      </c>
      <c r="B19">
        <v>4.5772210221496884E-2</v>
      </c>
      <c r="C19">
        <v>1.4647107270879003E-2</v>
      </c>
      <c r="D19">
        <v>1.1238518277708337E-2</v>
      </c>
    </row>
    <row r="20" spans="1:4" x14ac:dyDescent="0.2">
      <c r="A20">
        <v>1.5707963267948966</v>
      </c>
      <c r="B20">
        <v>4.5333806894138198E-2</v>
      </c>
      <c r="C20">
        <v>1.4506818206124223E-2</v>
      </c>
      <c r="D20">
        <v>1.1000000000000003E-2</v>
      </c>
    </row>
    <row r="21" spans="1:4" x14ac:dyDescent="0.2">
      <c r="A21">
        <v>1.6580627893946129</v>
      </c>
      <c r="B21">
        <v>4.5778672218209998E-2</v>
      </c>
      <c r="C21">
        <v>1.46491751098272E-2</v>
      </c>
      <c r="D21">
        <v>1.1238518277708335E-2</v>
      </c>
    </row>
    <row r="22" spans="1:4" x14ac:dyDescent="0.2">
      <c r="A22">
        <v>1.7453292519943295</v>
      </c>
      <c r="B22">
        <v>4.7503394122639375E-2</v>
      </c>
      <c r="C22">
        <v>1.5201086119244599E-2</v>
      </c>
      <c r="D22">
        <v>1.194682585366124E-2</v>
      </c>
    </row>
    <row r="23" spans="1:4" x14ac:dyDescent="0.2">
      <c r="A23">
        <v>1.8325957145940459</v>
      </c>
      <c r="B23">
        <v>5.2141787938127307E-2</v>
      </c>
      <c r="C23">
        <v>1.6685372140200737E-2</v>
      </c>
      <c r="D23">
        <v>1.3103401160584314E-2</v>
      </c>
    </row>
    <row r="24" spans="1:4" x14ac:dyDescent="0.2">
      <c r="A24">
        <v>1.9198621771937625</v>
      </c>
      <c r="B24">
        <v>5.9390587970605674E-2</v>
      </c>
      <c r="C24">
        <v>1.9004988150593816E-2</v>
      </c>
      <c r="D24">
        <v>1.4673102243032048E-2</v>
      </c>
    </row>
    <row r="25" spans="1:4" x14ac:dyDescent="0.2">
      <c r="A25">
        <v>2.0071286397934789</v>
      </c>
      <c r="B25">
        <v>6.6727337570348502E-2</v>
      </c>
      <c r="C25">
        <v>2.1352748022511522E-2</v>
      </c>
      <c r="D25">
        <v>1.6608234527921331E-2</v>
      </c>
    </row>
    <row r="26" spans="1:4" x14ac:dyDescent="0.2">
      <c r="A26">
        <v>2.0943951023931953</v>
      </c>
      <c r="B26">
        <v>7.4085995883707095E-2</v>
      </c>
      <c r="C26">
        <v>2.3707518682786269E-2</v>
      </c>
      <c r="D26">
        <v>1.8849999999999995E-2</v>
      </c>
    </row>
    <row r="27" spans="1:4" x14ac:dyDescent="0.2">
      <c r="A27">
        <v>2.1816615649929116</v>
      </c>
      <c r="B27">
        <v>8.144510816841824E-2</v>
      </c>
      <c r="C27">
        <v>2.6062434613893837E-2</v>
      </c>
      <c r="D27">
        <v>2.1330283749786995E-2</v>
      </c>
    </row>
    <row r="28" spans="1:4" x14ac:dyDescent="0.2">
      <c r="A28">
        <v>2.2689280275926285</v>
      </c>
      <c r="B28">
        <v>8.8715999680696822E-2</v>
      </c>
      <c r="C28">
        <v>2.8389119897822983E-2</v>
      </c>
      <c r="D28">
        <v>2.3973723610629195E-2</v>
      </c>
    </row>
    <row r="29" spans="1:4" x14ac:dyDescent="0.2">
      <c r="A29">
        <v>2.3561944901923448</v>
      </c>
      <c r="B29">
        <v>9.6000699877697854E-2</v>
      </c>
      <c r="C29">
        <v>3.0720223960863314E-2</v>
      </c>
      <c r="D29">
        <v>2.6699999999999998E-2</v>
      </c>
    </row>
    <row r="30" spans="1:4" x14ac:dyDescent="0.2">
      <c r="A30">
        <v>2.4434609527920612</v>
      </c>
      <c r="B30">
        <v>0.10320375275298073</v>
      </c>
      <c r="C30">
        <v>3.3025200880953835E-2</v>
      </c>
      <c r="D30">
        <v>2.9426276389370801E-2</v>
      </c>
    </row>
    <row r="31" spans="1:4" x14ac:dyDescent="0.2">
      <c r="A31">
        <v>2.5307274153917776</v>
      </c>
      <c r="B31">
        <v>0.1105964774091122</v>
      </c>
      <c r="C31">
        <v>3.5390872770915904E-2</v>
      </c>
      <c r="D31">
        <v>3.2069716250212987E-2</v>
      </c>
    </row>
    <row r="32" spans="1:4" x14ac:dyDescent="0.2">
      <c r="A32">
        <v>2.6179938779914944</v>
      </c>
      <c r="B32">
        <v>0.11761881520001222</v>
      </c>
      <c r="C32">
        <v>3.7638020864003911E-2</v>
      </c>
      <c r="D32">
        <v>3.4550000000000004E-2</v>
      </c>
    </row>
    <row r="33" spans="1:4" x14ac:dyDescent="0.2">
      <c r="A33">
        <v>2.7052603405912108</v>
      </c>
      <c r="B33">
        <v>0.12478067984836498</v>
      </c>
      <c r="C33">
        <v>3.9929817551476794E-2</v>
      </c>
      <c r="D33">
        <v>3.6791765472078665E-2</v>
      </c>
    </row>
    <row r="34" spans="1:4" x14ac:dyDescent="0.2">
      <c r="A34">
        <v>2.7925268031909272</v>
      </c>
      <c r="B34">
        <v>0.13186295224071129</v>
      </c>
      <c r="C34">
        <v>4.2196144717027616E-2</v>
      </c>
      <c r="D34">
        <v>3.872689775696795E-2</v>
      </c>
    </row>
    <row r="35" spans="1:4" x14ac:dyDescent="0.2">
      <c r="A35">
        <v>2.8797932657906435</v>
      </c>
      <c r="B35">
        <v>0.1388071638469304</v>
      </c>
      <c r="C35">
        <v>4.4418292431017727E-2</v>
      </c>
      <c r="D35">
        <v>4.0296598839415679E-2</v>
      </c>
    </row>
    <row r="36" spans="1:4" x14ac:dyDescent="0.2">
      <c r="A36">
        <v>2.9670597283903599</v>
      </c>
      <c r="B36">
        <v>0.14546110377797042</v>
      </c>
      <c r="C36">
        <v>4.6547553208950536E-2</v>
      </c>
      <c r="D36">
        <v>4.1453174146338756E-2</v>
      </c>
    </row>
    <row r="37" spans="1:4" x14ac:dyDescent="0.2">
      <c r="A37">
        <v>3.0543261909900767</v>
      </c>
      <c r="B37">
        <v>0.15120562179006281</v>
      </c>
      <c r="C37">
        <v>4.8385798972820096E-2</v>
      </c>
      <c r="D37">
        <v>4.2161481722291665E-2</v>
      </c>
    </row>
    <row r="38" spans="1:4" x14ac:dyDescent="0.2">
      <c r="A38">
        <v>3.1415926535897931</v>
      </c>
      <c r="B38">
        <v>0.15369368536964884</v>
      </c>
      <c r="C38">
        <v>4.9181979318287626E-2</v>
      </c>
      <c r="D38">
        <v>4.24E-2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2026-04-15T20:13:55Z</dcterms:created>
  <dcterms:modified xsi:type="dcterms:W3CDTF">2026-04-19T07:05:32Z</dcterms:modified>
</cp:coreProperties>
</file>